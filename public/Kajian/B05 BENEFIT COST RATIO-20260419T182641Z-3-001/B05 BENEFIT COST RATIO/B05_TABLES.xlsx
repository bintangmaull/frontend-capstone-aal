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05_TABLE_1" sheetId="1" r:id="rId5"/>
  </sheets>
  <definedNames/>
  <calcPr/>
</workbook>
</file>

<file path=xl/sharedStrings.xml><?xml version="1.0" encoding="utf-8"?>
<sst xmlns="http://schemas.openxmlformats.org/spreadsheetml/2006/main" count="5" uniqueCount="5">
  <si>
    <t>Return Period (year)</t>
  </si>
  <si>
    <t>DUL Loss Value (IDR)</t>
  </si>
  <si>
    <t>DUH Loss Value (IDR)</t>
  </si>
  <si>
    <t>Difference (IDR)</t>
  </si>
  <si>
    <t>Difference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</si>
</sst>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 readingOrder="0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>
      <c r="A2" s="3">
        <v>1.0</v>
      </c>
      <c r="B2" s="4">
        <v>1.10218E8</v>
      </c>
      <c r="C2" s="4">
        <v>1183500.0</v>
      </c>
      <c r="D2" s="4">
        <f t="shared" ref="D2:D13" si="1">C2-B2</f>
        <v>-109034500</v>
      </c>
      <c r="E2" s="4">
        <f t="shared" ref="E2:E13" si="2">D2/B2*100</f>
        <v>-98.92621895</v>
      </c>
    </row>
    <row r="3">
      <c r="A3" s="3">
        <v>2.0</v>
      </c>
      <c r="B3" s="4">
        <v>4.41177E9</v>
      </c>
      <c r="C3" s="4">
        <v>1.60639E8</v>
      </c>
      <c r="D3" s="4">
        <f t="shared" si="1"/>
        <v>-4251131000</v>
      </c>
      <c r="E3" s="4">
        <f t="shared" si="2"/>
        <v>-96.3588537</v>
      </c>
    </row>
    <row r="4">
      <c r="A4" s="3">
        <v>5.0</v>
      </c>
      <c r="B4" s="4">
        <v>6.58088E10</v>
      </c>
      <c r="C4" s="4">
        <v>7.23727E9</v>
      </c>
      <c r="D4" s="4">
        <f t="shared" si="1"/>
        <v>-58571530000</v>
      </c>
      <c r="E4" s="4">
        <f t="shared" si="2"/>
        <v>-89.0025802</v>
      </c>
    </row>
    <row r="5">
      <c r="A5" s="3">
        <v>10.0</v>
      </c>
      <c r="B5" s="4">
        <v>2.26605E11</v>
      </c>
      <c r="C5" s="4">
        <v>3.73815E10</v>
      </c>
      <c r="D5" s="4">
        <f t="shared" si="1"/>
        <v>-189223500000</v>
      </c>
      <c r="E5" s="4">
        <f t="shared" si="2"/>
        <v>-83.50367379</v>
      </c>
    </row>
    <row r="6">
      <c r="A6" s="3">
        <v>20.0</v>
      </c>
      <c r="B6" s="4">
        <v>6.51294E11</v>
      </c>
      <c r="C6" s="4">
        <v>1.31211E11</v>
      </c>
      <c r="D6" s="4">
        <f t="shared" si="1"/>
        <v>-520083000000</v>
      </c>
      <c r="E6" s="4">
        <f t="shared" si="2"/>
        <v>-79.85379875</v>
      </c>
    </row>
    <row r="7">
      <c r="A7" s="3">
        <v>25.0</v>
      </c>
      <c r="B7" s="4">
        <v>8.30822E11</v>
      </c>
      <c r="C7" s="4">
        <v>1.87E11</v>
      </c>
      <c r="D7" s="4">
        <f t="shared" si="1"/>
        <v>-643822000000</v>
      </c>
      <c r="E7" s="4">
        <f t="shared" si="2"/>
        <v>-77.4921704</v>
      </c>
    </row>
    <row r="8">
      <c r="A8" s="3">
        <v>50.0</v>
      </c>
      <c r="B8" s="4">
        <v>1.72585E12</v>
      </c>
      <c r="C8" s="4">
        <v>4.62784E11</v>
      </c>
      <c r="D8" s="4">
        <f t="shared" si="1"/>
        <v>-1263066000000</v>
      </c>
      <c r="E8" s="4">
        <f t="shared" si="2"/>
        <v>-73.18515514</v>
      </c>
    </row>
    <row r="9">
      <c r="A9" s="3">
        <v>100.0</v>
      </c>
      <c r="B9" s="4">
        <v>3.05339E12</v>
      </c>
      <c r="C9" s="4">
        <v>9.91415E11</v>
      </c>
      <c r="D9" s="4">
        <f t="shared" si="1"/>
        <v>-2061975000000</v>
      </c>
      <c r="E9" s="4">
        <f t="shared" si="2"/>
        <v>-67.53067902</v>
      </c>
    </row>
    <row r="10">
      <c r="A10" s="3">
        <v>200.0</v>
      </c>
      <c r="B10" s="4">
        <v>4.47045E12</v>
      </c>
      <c r="C10" s="4">
        <v>1.56011E12</v>
      </c>
      <c r="D10" s="4">
        <f t="shared" si="1"/>
        <v>-2910340000000</v>
      </c>
      <c r="E10" s="4">
        <f t="shared" si="2"/>
        <v>-65.10172354</v>
      </c>
    </row>
    <row r="11">
      <c r="A11" s="3">
        <v>250.0</v>
      </c>
      <c r="B11" s="4">
        <v>5.2047E12</v>
      </c>
      <c r="C11" s="4">
        <v>1.89428E12</v>
      </c>
      <c r="D11" s="4">
        <f t="shared" si="1"/>
        <v>-3310420000000</v>
      </c>
      <c r="E11" s="4">
        <f t="shared" si="2"/>
        <v>-63.60443445</v>
      </c>
    </row>
    <row r="12">
      <c r="A12" s="3">
        <v>500.0</v>
      </c>
      <c r="B12" s="4">
        <v>7.20385E12</v>
      </c>
      <c r="C12" s="4">
        <v>2.71369E12</v>
      </c>
      <c r="D12" s="4">
        <f t="shared" si="1"/>
        <v>-4490160000000</v>
      </c>
      <c r="E12" s="4">
        <f t="shared" si="2"/>
        <v>-62.3300041</v>
      </c>
    </row>
    <row r="13">
      <c r="A13" s="3">
        <v>1000.0</v>
      </c>
      <c r="B13" s="4">
        <v>8.43647E12</v>
      </c>
      <c r="C13" s="4">
        <v>3.41836E12</v>
      </c>
      <c r="D13" s="4">
        <f t="shared" si="1"/>
        <v>-5018110000000</v>
      </c>
      <c r="E13" s="4">
        <f t="shared" si="2"/>
        <v>-59.4811574</v>
      </c>
    </row>
  </sheetData>
  <drawing r:id="rId1"/>
</worksheet>
</file>